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6a4bf0a76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ordenadas" sheetId="1" r:id="R2e3a46affea94cf3"/>
    <x:sheet xmlns:r="http://schemas.openxmlformats.org/officeDocument/2006/relationships" name="Notas" sheetId="2" r:id="R762c955bcd9d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aab2b18f44434" /><Relationship Type="http://schemas.openxmlformats.org/officeDocument/2006/relationships/theme" Target="/xl/theme/theme1.xml" Id="Rffa478a786da4be3" /><Relationship Type="http://schemas.openxmlformats.org/officeDocument/2006/relationships/sharedStrings" Target="/xl/sharedStrings.xml" Id="Rd6b8cb48efb34964" /><Relationship Type="http://schemas.openxmlformats.org/officeDocument/2006/relationships/worksheet" Target="/xl/worksheets/sheet1.xml" Id="R2e3a46affea94cf3" /><Relationship Type="http://schemas.openxmlformats.org/officeDocument/2006/relationships/worksheet" Target="/xl/worksheets/sheet2.xml" Id="R762c955bcd9d4564" /></Relationships>
</file>

<file path=xl/tables/table1.xml><?xml version="1.0" encoding="utf-8"?>
<x:table xmlns:x="http://schemas.openxmlformats.org/spreadsheetml/2006/main" id="1" name="TabelaCoordenadasBarragens" displayName="TabelaCoordenadasBarragens" ref="A1:G42" headerRowCount="1" totalsRowCount="0" totalsRowShown="0">
  <x:tableColumns count="7">
    <x:tableColumn id="1" name="IDBarragem"/>
    <x:tableColumn id="2" name="NMBarragem"/>
    <x:tableColumn id="3" name="Latitude"/>
    <x:tableColumn id="4" name="Longitude"/>
    <x:tableColumn id="5" name="Status"/>
    <x:tableColumn id="6" name="Fonte"/>
    <x:tableColumn id="7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0735ccf4d4e1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5" hidden="0" customWidth="1"/>
    <x:col min="4" max="4" width="15" hidden="0" customWidth="1"/>
    <x:col min="5" max="5" width="28" hidden="0" customWidth="1"/>
    <x:col min="6" max="6" width="58" hidden="0" customWidth="1"/>
    <x:col min="7" max="7" width="58" hidden="0" customWidth="1"/>
  </x:cols>
  <x:sheetData>
    <x:row r="1">
      <x:c r="A1" s="10" t="str">
        <x:v>IDBarragem</x:v>
      </x:c>
      <x:c r="B1" s="10" t="str">
        <x:v>NMBarragem</x:v>
      </x:c>
      <x:c r="C1" s="10" t="str">
        <x:v>Latitude</x:v>
      </x:c>
      <x:c r="D1" s="10" t="str">
        <x:v>Longitude</x:v>
      </x:c>
      <x:c r="E1" s="10" t="str">
        <x:v>Status</x:v>
      </x:c>
      <x:c r="F1" s="10" t="str">
        <x:v>Fonte</x:v>
      </x:c>
      <x:c r="G1" s="10" t="str">
        <x:v>Observação</x:v>
      </x:c>
    </x:row>
    <x:row r="2">
      <x:c r="A2" s="16" t="n">
        <x:v>8391</x:v>
      </x:c>
      <x:c r="B2" s="11" t="str">
        <x:v>Barragem Rio Fiorita</x:v>
      </x:c>
      <x:c r="C2" s="14" t="n">
        <x:v>-28.58685194</x:v>
      </x:c>
      <x:c r="D2" s="14" t="n">
        <x:v>-49.44321528</x:v>
      </x:c>
      <x:c r="E2" s="11" t="str">
        <x:v>Coordenada confirmada</x:v>
      </x:c>
      <x:c r="F2" s="11" t="str">
        <x:v>https://legis.senado.leg.br/sdleg-getter/documento?dm=7939404</x:v>
      </x:c>
      <x:c r="G2" s="11" t="str">
        <x:v>Coordenada em DMS convertida para graus decimais.</x:v>
      </x:c>
    </x:row>
    <x:row r="3">
      <x:c r="A3" s="16" t="n">
        <x:v>8412</x:v>
      </x:c>
      <x:c r="B3" s="11" t="str">
        <x:v>Barragem Lauro Muller</x:v>
      </x:c>
      <x:c r="C3" s="14" t="n">
        <x:v>-28.40961111</x:v>
      </x:c>
      <x:c r="D3" s="14" t="n">
        <x:v>-49.42775</x:v>
      </x:c>
      <x:c r="E3" s="11" t="str">
        <x:v>Coordenada confirmada</x:v>
      </x:c>
      <x:c r="F3" s="11" t="str">
        <x:v>https://legis.senado.leg.br/sdleg-getter/documento?dm=7939404</x:v>
      </x:c>
      <x:c r="G3" s="11" t="str">
        <x:v>Coordenada em DMS convertida para graus decimais.</x:v>
      </x:c>
    </x:row>
    <x:row r="4">
      <x:c r="A4" s="16" t="n">
        <x:v>9100</x:v>
      </x:c>
      <x:c r="B4" s="11" t="str">
        <x:v>Vargem Grande</x:v>
      </x:c>
      <x:c r="C4" s="14" t="n">
        <x:v>-20.18186111</x:v>
      </x:c>
      <x:c r="D4" s="14" t="n">
        <x:v>-43.867</x:v>
      </x:c>
      <x:c r="E4" s="11" t="str">
        <x:v>Coordenada confirmada</x:v>
      </x:c>
      <x:c r="F4" s="11" t="str">
        <x:v>https://legis.senado.leg.br/sdleg-getter/documento?dm=7939404</x:v>
      </x:c>
      <x:c r="G4" s="11" t="str">
        <x:v>Coordenada em DMS convertida para graus decimais.</x:v>
      </x:c>
    </x:row>
    <x:row r="5">
      <x:c r="A5" s="16" t="n">
        <x:v>9581</x:v>
      </x:c>
      <x:c r="B5" s="11" t="str">
        <x:v>Barragem Lauro Muller - Bacia 4</x:v>
      </x:c>
      <x:c r="C5" s="14"/>
      <x:c r="D5" s="14"/>
      <x:c r="E5" s="11" t="str">
        <x:v>Coordenada pendente de confirmação</x:v>
      </x:c>
      <x:c r="F5" s="11" t="str">
        <x:v>https://geo.anm.gov.br/arcgis/rest/services/Producao/Barragens_Dashboard_Publico/FeatureServer/0</x:v>
      </x:c>
      <x:c r="G5" s="11" t="str">
        <x:v>Cadastro atual confirmado em Lauro Müller/SC; coordenada exata não extraída da consulta pública.</x:v>
      </x:c>
    </x:row>
    <x:row r="6">
      <x:c r="A6" s="16" t="n">
        <x:v>9730</x:v>
      </x:c>
      <x:c r="B6" s="11" t="str">
        <x:v>Barragem 01</x:v>
      </x:c>
      <x:c r="C6" s="14"/>
      <x:c r="D6" s="14"/>
      <x:c r="E6" s="11" t="str">
        <x:v>Coordenada pendente de confirmação</x:v>
      </x:c>
      <x:c r="F6" s="11" t="str">
        <x:v>https://geo.anm.gov.br/arcgis/rest/services/Producao/Barragens_Dashboard_Publico/FeatureServer/0</x:v>
      </x:c>
      <x:c r="G6" s="11" t="str">
        <x:v>Cadastro atual confirmado em Poconé/MT; Barragem 01, processo ANM 866.576/2014. Coordenada exata não confirmada.</x:v>
      </x:c>
    </x:row>
    <x:row r="7">
      <x:c r="A7" s="16" t="n">
        <x:v>9731</x:v>
      </x:c>
      <x:c r="B7" s="11" t="str">
        <x:v>Barragem 02</x:v>
      </x:c>
      <x:c r="C7" s="14"/>
      <x:c r="D7" s="14"/>
      <x:c r="E7" s="11" t="str">
        <x:v>Coordenada pendente de confirmação</x:v>
      </x:c>
      <x:c r="F7" s="11" t="str">
        <x:v>https://geo.anm.gov.br/arcgis/rest/services/Producao/Barragens_Dashboard_Publico/FeatureServer/0</x:v>
      </x:c>
      <x:c r="G7" s="11" t="str">
        <x:v>Cadastro atual confirmado em Poconé/MT; Barragem 02, processo ANM 866.576/2014. Coordenada exata não confirmada.</x:v>
      </x:c>
    </x:row>
    <x:row r="8">
      <x:c r="A8" s="16" t="n">
        <x:v>8560</x:v>
      </x:c>
      <x:c r="B8" s="11" t="str">
        <x:v>SP1</x:v>
      </x:c>
      <x:c r="C8" s="14" t="n">
        <x:v>-1.68291667</x:v>
      </x:c>
      <x:c r="D8" s="14" t="n">
        <x:v>-56.41816667</x:v>
      </x:c>
      <x:c r="E8" s="11" t="str">
        <x:v>Coordenada confirmada</x:v>
      </x:c>
      <x:c r="F8" s="11" t="str">
        <x:v>https://legis.senado.leg.br/sdleg-getter/documento?dm=7939404</x:v>
      </x:c>
      <x:c r="G8" s="11" t="str">
        <x:v>Coordenada em DMS convertida para graus decimais.</x:v>
      </x:c>
    </x:row>
    <x:row r="9">
      <x:c r="A9" s="16" t="n">
        <x:v>9156</x:v>
      </x:c>
      <x:c r="B9" s="11" t="str">
        <x:v>Unidade II</x:v>
      </x:c>
      <x:c r="C9" s="14" t="n">
        <x:v>-18.14972222</x:v>
      </x:c>
      <x:c r="D9" s="14" t="n">
        <x:v>-47.8075</x:v>
      </x:c>
      <x:c r="E9" s="11" t="str">
        <x:v>Coordenada confirmada</x:v>
      </x:c>
      <x:c r="F9" s="11" t="str">
        <x:v>https://legis.senado.leg.br/sdleg-getter/documento?dm=7939404</x:v>
      </x:c>
      <x:c r="G9" s="11" t="str">
        <x:v>Coordenada em DMS convertida para graus decimais.</x:v>
      </x:c>
    </x:row>
    <x:row r="10">
      <x:c r="A10" s="16" t="n">
        <x:v>9157</x:v>
      </x:c>
      <x:c r="B10" s="11" t="str">
        <x:v>Unidade I</x:v>
      </x:c>
      <x:c r="C10" s="14" t="n">
        <x:v>-18.14666667</x:v>
      </x:c>
      <x:c r="D10" s="14" t="n">
        <x:v>-47.80527778</x:v>
      </x:c>
      <x:c r="E10" s="11" t="str">
        <x:v>Coordenada confirmada</x:v>
      </x:c>
      <x:c r="F10" s="11" t="str">
        <x:v>https://legis.senado.leg.br/sdleg-getter/documento?dm=7939404</x:v>
      </x:c>
      <x:c r="G10" s="11" t="str">
        <x:v>Coordenada em DMS convertida para graus decimais.</x:v>
      </x:c>
    </x:row>
    <x:row r="11">
      <x:c r="A11" s="16" t="n">
        <x:v>9158</x:v>
      </x:c>
      <x:c r="B11" s="11" t="str">
        <x:v>Unidade IIB</x:v>
      </x:c>
      <x:c r="C11" s="14" t="n">
        <x:v>-18.14458056</x:v>
      </x:c>
      <x:c r="D11" s="14" t="n">
        <x:v>-47.81122472</x:v>
      </x:c>
      <x:c r="E11" s="11" t="str">
        <x:v>Coordenada confirmada</x:v>
      </x:c>
      <x:c r="F11" s="11" t="str">
        <x:v>https://legis.senado.leg.br/sdleg-getter/documento?dm=7939404</x:v>
      </x:c>
      <x:c r="G11" s="11" t="str">
        <x:v>Coordenada em DMS convertida para graus decimais.</x:v>
      </x:c>
    </x:row>
    <x:row r="12">
      <x:c r="A12" s="16" t="n">
        <x:v>9262</x:v>
      </x:c>
      <x:c r="B12" s="11" t="str">
        <x:v>Barragem 01</x:v>
      </x:c>
      <x:c r="C12" s="14" t="n">
        <x:v>-16.18425556</x:v>
      </x:c>
      <x:c r="D12" s="14" t="n">
        <x:v>-56.43501111</x:v>
      </x:c>
      <x:c r="E12" s="11" t="str">
        <x:v>Coordenada confirmada</x:v>
      </x:c>
      <x:c r="F12" s="11" t="str">
        <x:v>https://legis.senado.leg.br/sdleg-getter/documento?dm=7939404</x:v>
      </x:c>
      <x:c r="G12" s="11" t="str">
        <x:v>Coordenada em DMS convertida para graus decimais.</x:v>
      </x:c>
    </x:row>
    <x:row r="13">
      <x:c r="A13" s="16" t="n">
        <x:v>9471</x:v>
      </x:c>
      <x:c r="B13" s="11" t="str">
        <x:v>Unidade IB</x:v>
      </x:c>
      <x:c r="C13" s="14"/>
      <x:c r="D13" s="14"/>
      <x:c r="E13" s="11" t="str">
        <x:v>Coordenada pendente de confirmação</x:v>
      </x:c>
      <x:c r="F13" s="11" t="str">
        <x:v>https://geo.anm.gov.br/arcgis/rest/services/Producao/Barragens_Dashboard_Publico/FeatureServer/0</x:v>
      </x:c>
      <x:c r="G13" s="11" t="str">
        <x:v>Cadastro confirmado em Ouvidor/GO; Unidade IB (CMOC), SNISB 6849. Coordenada exata não confirmada.</x:v>
      </x:c>
    </x:row>
    <x:row r="14">
      <x:c r="A14" s="16" t="n">
        <x:v>9493</x:v>
      </x:c>
      <x:c r="B14" s="11" t="str">
        <x:v>Barragem AFGM GP2</x:v>
      </x:c>
      <x:c r="C14" s="14"/>
      <x:c r="D14" s="14"/>
      <x:c r="E14" s="11" t="str">
        <x:v>Coordenada pendente de confirmação</x:v>
      </x:c>
      <x:c r="F14" s="11" t="str">
        <x:v>https://geo.anm.gov.br/arcgis/rest/services/Producao/Barragens_Dashboard_Publico/FeatureServer/0</x:v>
      </x:c>
      <x:c r="G14" s="11" t="str">
        <x:v>Cadastro confirmado em Poconé/MT; Barragem AFGM GP2, SNISB 20398. Coordenada exata não confirmada.</x:v>
      </x:c>
    </x:row>
    <x:row r="15">
      <x:c r="A15" s="16" t="n">
        <x:v>9662</x:v>
      </x:c>
      <x:c r="B15" s="11" t="str">
        <x:v>Barragem T08</x:v>
      </x:c>
      <x:c r="C15" s="14"/>
      <x:c r="D15" s="14"/>
      <x:c r="E15" s="11" t="str">
        <x:v>Coordenada pendente de confirmação</x:v>
      </x:c>
      <x:c r="F15" s="11" t="str">
        <x:v>https://geo.anm.gov.br/arcgis/rest/services/Producao/Barragens_Dashboard_Publico/FeatureServer/0</x:v>
      </x:c>
      <x:c r="G15" s="11" t="str">
        <x:v>Cadastro confirmado em Nossa Senhora do Livramento/MT; Barragem T08 (Salinas Gold). Coordenada exata não confirmada.</x:v>
      </x:c>
    </x:row>
    <x:row r="16">
      <x:c r="A16" s="16" t="n">
        <x:v>10185</x:v>
      </x:c>
      <x:c r="B16" s="11" t="str">
        <x:v>Barragem do Vené II</x:v>
      </x:c>
      <x:c r="C16" s="14" t="n">
        <x:v>-1.30635241</x:v>
      </x:c>
      <x:c r="D16" s="14" t="n">
        <x:v>-45.76123982</x:v>
      </x:c>
      <x:c r="E16" s="11" t="str">
        <x:v>Coordenada confirmada</x:v>
      </x:c>
      <x:c r="F16" s="11" t="str">
        <x:v>https://www.equinoxgold.com/wp-content/uploads/2025/01/STE-MZ004-PBM-PAE-TXT001-04.pdf</x:v>
      </x:c>
      <x:c r="G16" s="11" t="str">
        <x:v>UTM SIRGAS 2000 / zona 23S convertida para latitude/longitude decimal.</x:v>
      </x:c>
    </x:row>
    <x:row r="17">
      <x:c r="A17" s="16" t="n">
        <x:v>9147</x:v>
      </x:c>
      <x:c r="B17" s="11" t="str">
        <x:v>Barragem de Rejeitos do Córrego Baco Pari</x:v>
      </x:c>
      <x:c r="C17" s="14" t="n">
        <x:v>-14.20589083</x:v>
      </x:c>
      <x:c r="D17" s="14" t="n">
        <x:v>-49.40621472</x:v>
      </x:c>
      <x:c r="E17" s="11" t="str">
        <x:v>Coordenada confirmada</x:v>
      </x:c>
      <x:c r="F17" s="11" t="str">
        <x:v>https://legis.senado.leg.br/sdleg-getter/documento?dm=7939404</x:v>
      </x:c>
      <x:c r="G17" s="11" t="str">
        <x:v>Coordenada em DMS convertida para graus decimais.</x:v>
      </x:c>
    </x:row>
    <x:row r="18">
      <x:c r="A18" s="16" t="n">
        <x:v>9189</x:v>
      </x:c>
      <x:c r="B18" s="11" t="str">
        <x:v>BARRAGEM USINA/CIP - LAGO 4</x:v>
      </x:c>
      <x:c r="C18" s="14" t="n">
        <x:v>-11.44805556</x:v>
      </x:c>
      <x:c r="D18" s="14" t="n">
        <x:v>-39.09805556</x:v>
      </x:c>
      <x:c r="E18" s="11" t="str">
        <x:v>Coordenada confirmada</x:v>
      </x:c>
      <x:c r="F18" s="11" t="str">
        <x:v>https://legis.senado.leg.br/sdleg-getter/documento?dm=7939404</x:v>
      </x:c>
      <x:c r="G18" s="11" t="str">
        <x:v>Coordenada em DMS convertida para graus decimais.</x:v>
      </x:c>
    </x:row>
    <x:row r="19">
      <x:c r="A19" s="16" t="n">
        <x:v>8182</x:v>
      </x:c>
      <x:c r="B19" s="11" t="str">
        <x:v>BARRAGEM DE FLOTAÇÃO</x:v>
      </x:c>
      <x:c r="C19" s="14" t="n">
        <x:v>-11.00344444</x:v>
      </x:c>
      <x:c r="D19" s="14" t="n">
        <x:v>-39.28702778</x:v>
      </x:c>
      <x:c r="E19" s="11" t="str">
        <x:v>Coordenada confirmada</x:v>
      </x:c>
      <x:c r="F19" s="11" t="str">
        <x:v>https://legis.senado.leg.br/sdleg-getter/documento?dm=7939404</x:v>
      </x:c>
      <x:c r="G19" s="11" t="str">
        <x:v>Coordenada em DMS convertida para graus decimais.</x:v>
      </x:c>
    </x:row>
    <x:row r="20">
      <x:c r="A20" s="16" t="n">
        <x:v>8183</x:v>
      </x:c>
      <x:c r="B20" s="11" t="str">
        <x:v>BARRAGEM DE LIXIVIAÇÃO</x:v>
      </x:c>
      <x:c r="C20" s="14" t="n">
        <x:v>-11.00363889</x:v>
      </x:c>
      <x:c r="D20" s="14" t="n">
        <x:v>-39.30083333</x:v>
      </x:c>
      <x:c r="E20" s="11" t="str">
        <x:v>Coordenada confirmada</x:v>
      </x:c>
      <x:c r="F20" s="11" t="str">
        <x:v>https://legis.senado.leg.br/sdleg-getter/documento?dm=7939404</x:v>
      </x:c>
      <x:c r="G20" s="11" t="str">
        <x:v>Coordenada em DMS convertida para graus decimais.</x:v>
      </x:c>
    </x:row>
    <x:row r="21">
      <x:c r="A21" s="16" t="n">
        <x:v>8710</x:v>
      </x:c>
      <x:c r="B21" s="11" t="str">
        <x:v>Sítio Horii</x:v>
      </x:c>
      <x:c r="C21" s="14" t="n">
        <x:v>-23.62108333</x:v>
      </x:c>
      <x:c r="D21" s="14" t="n">
        <x:v>-46.24758333</x:v>
      </x:c>
      <x:c r="E21" s="11" t="str">
        <x:v>Coordenada confirmada</x:v>
      </x:c>
      <x:c r="F21" s="11" t="str">
        <x:v>https://legis.senado.leg.br/sdleg-getter/documento?dm=7939404</x:v>
      </x:c>
      <x:c r="G21" s="11" t="str">
        <x:v>Coordenada em DMS convertida para graus decimais.</x:v>
      </x:c>
    </x:row>
    <x:row r="22">
      <x:c r="A22" s="16" t="n">
        <x:v>9187</x:v>
      </x:c>
      <x:c r="B22" s="11" t="str">
        <x:v>BARRAGEM USINA/CIP - LAGO 1 E 2</x:v>
      </x:c>
      <x:c r="C22" s="14" t="n">
        <x:v>-11.44972222</x:v>
      </x:c>
      <x:c r="D22" s="14" t="n">
        <x:v>-39.08972222</x:v>
      </x:c>
      <x:c r="E22" s="11" t="str">
        <x:v>Coordenada confirmada</x:v>
      </x:c>
      <x:c r="F22" s="11" t="str">
        <x:v>https://legis.senado.leg.br/sdleg-getter/documento?dm=7939404</x:v>
      </x:c>
      <x:c r="G22" s="11" t="str">
        <x:v>Coordenada em DMS convertida para graus decimais.</x:v>
      </x:c>
    </x:row>
    <x:row r="23">
      <x:c r="A23" s="16" t="n">
        <x:v>9188</x:v>
      </x:c>
      <x:c r="B23" s="11" t="str">
        <x:v>BARRAGEM USINA/CIP - LAGO 3</x:v>
      </x:c>
      <x:c r="C23" s="14" t="n">
        <x:v>-11.44713389</x:v>
      </x:c>
      <x:c r="D23" s="14" t="n">
        <x:v>-39.07119583</x:v>
      </x:c>
      <x:c r="E23" s="11" t="str">
        <x:v>Coordenada confirmada</x:v>
      </x:c>
      <x:c r="F23" s="11" t="str">
        <x:v>https://legis.senado.leg.br/sdleg-getter/documento?dm=7939404</x:v>
      </x:c>
      <x:c r="G23" s="11" t="str">
        <x:v>Coordenada em DMS convertida para graus decimais.</x:v>
      </x:c>
    </x:row>
    <x:row r="24">
      <x:c r="A24" s="16" t="n">
        <x:v>8291</x:v>
      </x:c>
      <x:c r="B24" s="11" t="str">
        <x:v>Barragem MSG</x:v>
      </x:c>
      <x:c r="C24" s="14" t="n">
        <x:v>-14.56108972</x:v>
      </x:c>
      <x:c r="D24" s="14" t="n">
        <x:v>-49.96019583</x:v>
      </x:c>
      <x:c r="E24" s="11" t="str">
        <x:v>Coordenada confirmada</x:v>
      </x:c>
      <x:c r="F24" s="11" t="str">
        <x:v>https://legis.senado.leg.br/sdleg-getter/documento?dm=7939404</x:v>
      </x:c>
      <x:c r="G24" s="11" t="str">
        <x:v>Coordenada em DMS convertida para graus decimais.</x:v>
      </x:c>
    </x:row>
    <x:row r="25">
      <x:c r="A25" s="16" t="n">
        <x:v>8547</x:v>
      </x:c>
      <x:c r="B25" s="11" t="str">
        <x:v>Barrragem do Vené</x:v>
      </x:c>
      <x:c r="C25" s="14" t="n">
        <x:v>-1.3036458</x:v>
      </x:c>
      <x:c r="D25" s="14" t="n">
        <x:v>-45.75856554</x:v>
      </x:c>
      <x:c r="E25" s="11" t="str">
        <x:v>Coordenada confirmada</x:v>
      </x:c>
      <x:c r="F25" s="11" t="str">
        <x:v>https://www.equinoxgold.com/wp-content/uploads/2025/09/STE-MZ004-PBM-PAE-TXT004-01-VENE-I.pdf</x:v>
      </x:c>
      <x:c r="G25" s="11" t="str">
        <x:v>UTM SIRGAS 2000 / zona 23S convertida para latitude/longitude decimal.</x:v>
      </x:c>
    </x:row>
    <x:row r="26">
      <x:c r="A26" s="16" t="n">
        <x:v>8631</x:v>
      </x:c>
      <x:c r="B26" s="11" t="str">
        <x:v>Barragem da Cava</x:v>
      </x:c>
      <x:c r="C26" s="14" t="n">
        <x:v>-0.89768694</x:v>
      </x:c>
      <x:c r="D26" s="14" t="n">
        <x:v>-52.37897083</x:v>
      </x:c>
      <x:c r="E26" s="11" t="str">
        <x:v>Coordenada confirmada</x:v>
      </x:c>
      <x:c r="F26" s="11" t="str">
        <x:v>https://legis.senado.leg.br/sdleg-getter/documento?dm=7939404</x:v>
      </x:c>
      <x:c r="G26" s="11" t="str">
        <x:v>Coordenada em DMS convertida para graus decimais.</x:v>
      </x:c>
    </x:row>
    <x:row r="27">
      <x:c r="A27" s="16" t="n">
        <x:v>8641</x:v>
      </x:c>
      <x:c r="B27" s="11" t="str">
        <x:v>CALCINADOS</x:v>
      </x:c>
      <x:c r="C27" s="14" t="n">
        <x:v>-19.96361111</x:v>
      </x:c>
      <x:c r="D27" s="14" t="n">
        <x:v>-43.83888889</x:v>
      </x:c>
      <x:c r="E27" s="11" t="str">
        <x:v>Coordenada confirmada</x:v>
      </x:c>
      <x:c r="F27" s="11" t="str">
        <x:v>https://legis.senado.leg.br/sdleg-getter/documento?dm=7939404</x:v>
      </x:c>
      <x:c r="G27" s="11" t="str">
        <x:v>Coordenada em DMS convertida para graus decimais.</x:v>
      </x:c>
    </x:row>
    <x:row r="28">
      <x:c r="A28" s="16" t="n">
        <x:v>8667</x:v>
      </x:c>
      <x:c r="B28" s="11" t="str">
        <x:v>CONTENÇÃO DE REJEITOS DE CUIABÁ</x:v>
      </x:c>
      <x:c r="C28" s="14" t="n">
        <x:v>-19.86578194</x:v>
      </x:c>
      <x:c r="D28" s="14" t="n">
        <x:v>-43.72755972</x:v>
      </x:c>
      <x:c r="E28" s="11" t="str">
        <x:v>Coordenada confirmada</x:v>
      </x:c>
      <x:c r="F28" s="11" t="str">
        <x:v>https://legis.senado.leg.br/sdleg-getter/documento?dm=7939404</x:v>
      </x:c>
      <x:c r="G28" s="11" t="str">
        <x:v>Coordenada em DMS convertida para graus decimais.</x:v>
      </x:c>
    </x:row>
    <x:row r="29">
      <x:c r="A29" s="16" t="n">
        <x:v>9228</x:v>
      </x:c>
      <x:c r="B29" s="11" t="str">
        <x:v>Cava Pedrinhas</x:v>
      </x:c>
      <x:c r="C29" s="14" t="n">
        <x:v>-10.545</x:v>
      </x:c>
      <x:c r="D29" s="14" t="n">
        <x:v>-40.41455556</x:v>
      </x:c>
      <x:c r="E29" s="11" t="str">
        <x:v>Coordenada confirmada</x:v>
      </x:c>
      <x:c r="F29" s="11" t="str">
        <x:v>https://legis.senado.leg.br/sdleg-getter/documento?dm=7939404</x:v>
      </x:c>
      <x:c r="G29" s="11" t="str">
        <x:v>Coordenada em DMS convertida para graus decimais.</x:v>
      </x:c>
    </x:row>
    <x:row r="30">
      <x:c r="A30" s="16" t="n">
        <x:v>10336</x:v>
      </x:c>
      <x:c r="B30" s="11" t="str">
        <x:v>BARRAGEM MANAH 1</x:v>
      </x:c>
      <x:c r="C30" s="14"/>
      <x:c r="D30" s="14"/>
      <x:c r="E30" s="11" t="str">
        <x:v>Coordenada pendente de confirmação</x:v>
      </x:c>
      <x:c r="F30" s="11" t="str">
        <x:v>https://geo.anm.gov.br/arcgis/rest/services/Producao/Barragens_Dashboard_Publico/FeatureServer/0</x:v>
      </x:c>
      <x:c r="G30" s="11" t="str">
        <x:v>Cadastro confirmado em Nossa Senhora do Livramento/MT; Barragem MANAH 1, SNISB 34483. Coordenada exata não confirmada.</x:v>
      </x:c>
    </x:row>
    <x:row r="31">
      <x:c r="A31" s="16" t="n">
        <x:v>8318</x:v>
      </x:c>
      <x:c r="B31" s="11" t="str">
        <x:v>Conceição</x:v>
      </x:c>
      <x:c r="C31" s="14" t="n">
        <x:v>-19.64758333</x:v>
      </x:c>
      <x:c r="D31" s="14" t="n">
        <x:v>-43.27413889</x:v>
      </x:c>
      <x:c r="E31" s="11" t="str">
        <x:v>Coordenada confirmada</x:v>
      </x:c>
      <x:c r="F31" s="11" t="str">
        <x:v>https://legis.senado.leg.br/sdleg-getter/documento?dm=7939404</x:v>
      </x:c>
      <x:c r="G31" s="11" t="str">
        <x:v>Coordenada em DMS convertida para graus decimais.</x:v>
      </x:c>
    </x:row>
    <x:row r="32">
      <x:c r="A32" s="16" t="n">
        <x:v>8369</x:v>
      </x:c>
      <x:c r="B32" s="11" t="str">
        <x:v>Diogo</x:v>
      </x:c>
      <x:c r="C32" s="14" t="n">
        <x:v>-19.92994222</x:v>
      </x:c>
      <x:c r="D32" s="14" t="n">
        <x:v>-43.19619389</x:v>
      </x:c>
      <x:c r="E32" s="11" t="str">
        <x:v>Coordenada confirmada</x:v>
      </x:c>
      <x:c r="F32" s="11" t="str">
        <x:v>https://legis.senado.leg.br/sdleg-getter/documento?dm=7939404</x:v>
      </x:c>
      <x:c r="G32" s="11" t="str">
        <x:v>Coordenada em DMS convertida para graus decimais.</x:v>
      </x:c>
    </x:row>
    <x:row r="33">
      <x:c r="A33" s="16" t="n">
        <x:v>8431</x:v>
      </x:c>
      <x:c r="B33" s="11" t="str">
        <x:v>Barragem Eustáquio</x:v>
      </x:c>
      <x:c r="C33" s="14" t="n">
        <x:v>-17.14608889</x:v>
      </x:c>
      <x:c r="D33" s="14" t="n">
        <x:v>-46.90219167</x:v>
      </x:c>
      <x:c r="E33" s="11" t="str">
        <x:v>Coordenada confirmada</x:v>
      </x:c>
      <x:c r="F33" s="11" t="str">
        <x:v>https://legis.senado.leg.br/sdleg-getter/documento?dm=7939404</x:v>
      </x:c>
      <x:c r="G33" s="11" t="str">
        <x:v>Coordenada em DMS convertida para graus decimais.</x:v>
      </x:c>
    </x:row>
    <x:row r="34">
      <x:c r="A34" s="16" t="n">
        <x:v>8434</x:v>
      </x:c>
      <x:c r="B34" s="11" t="str">
        <x:v>Tanque Específico IX-B</x:v>
      </x:c>
      <x:c r="C34" s="14" t="n">
        <x:v>-17.17414444</x:v>
      </x:c>
      <x:c r="D34" s="14" t="n">
        <x:v>-46.87909722</x:v>
      </x:c>
      <x:c r="E34" s="11" t="str">
        <x:v>Coordenada confirmada</x:v>
      </x:c>
      <x:c r="F34" s="11" t="str">
        <x:v>https://legis.senado.leg.br/sdleg-getter/documento?dm=7939404</x:v>
      </x:c>
      <x:c r="G34" s="11" t="str">
        <x:v>Coordenada em DMS convertida para graus decimais.</x:v>
      </x:c>
    </x:row>
    <x:row r="35">
      <x:c r="A35" s="16" t="n">
        <x:v>8436</x:v>
      </x:c>
      <x:c r="B35" s="11" t="str">
        <x:v>Tanque Específico X</x:v>
      </x:c>
      <x:c r="C35" s="14" t="n">
        <x:v>-17.17543611</x:v>
      </x:c>
      <x:c r="D35" s="14" t="n">
        <x:v>-46.88776944</x:v>
      </x:c>
      <x:c r="E35" s="11" t="str">
        <x:v>Coordenada confirmada</x:v>
      </x:c>
      <x:c r="F35" s="11" t="str">
        <x:v>https://legis.senado.leg.br/sdleg-getter/documento?dm=7939404</x:v>
      </x:c>
      <x:c r="G35" s="11" t="str">
        <x:v>Coordenada em DMS convertida para graus decimais.</x:v>
      </x:c>
    </x:row>
    <x:row r="36">
      <x:c r="A36" s="16" t="n">
        <x:v>8437</x:v>
      </x:c>
      <x:c r="B36" s="11" t="str">
        <x:v>Tanque Específico XI</x:v>
      </x:c>
      <x:c r="C36" s="14" t="n">
        <x:v>-17.17240833</x:v>
      </x:c>
      <x:c r="D36" s="14" t="n">
        <x:v>-46.88331111</x:v>
      </x:c>
      <x:c r="E36" s="11" t="str">
        <x:v>Coordenada confirmada</x:v>
      </x:c>
      <x:c r="F36" s="11" t="str">
        <x:v>https://legis.senado.leg.br/sdleg-getter/documento?dm=7939404</x:v>
      </x:c>
      <x:c r="G36" s="11" t="str">
        <x:v>Coordenada em DMS convertida para graus decimais.</x:v>
      </x:c>
    </x:row>
    <x:row r="37">
      <x:c r="A37" s="16" t="n">
        <x:v>8438</x:v>
      </x:c>
      <x:c r="B37" s="11" t="str">
        <x:v>Tanque Específico XII</x:v>
      </x:c>
      <x:c r="C37" s="14" t="n">
        <x:v>-17.18227222</x:v>
      </x:c>
      <x:c r="D37" s="14" t="n">
        <x:v>-46.8988</x:v>
      </x:c>
      <x:c r="E37" s="11" t="str">
        <x:v>Coordenada confirmada</x:v>
      </x:c>
      <x:c r="F37" s="11" t="str">
        <x:v>https://legis.senado.leg.br/sdleg-getter/documento?dm=7939404</x:v>
      </x:c>
      <x:c r="G37" s="11" t="str">
        <x:v>Coordenada em DMS convertida para graus decimais.</x:v>
      </x:c>
    </x:row>
    <x:row r="38">
      <x:c r="A38" s="16" t="n">
        <x:v>8456</x:v>
      </x:c>
      <x:c r="B38" s="11" t="str">
        <x:v>VI</x:v>
      </x:c>
      <x:c r="C38" s="14" t="n">
        <x:v>-20.11905556</x:v>
      </x:c>
      <x:c r="D38" s="14" t="n">
        <x:v>-44.12441667</x:v>
      </x:c>
      <x:c r="E38" s="11" t="str">
        <x:v>Coordenada confirmada</x:v>
      </x:c>
      <x:c r="F38" s="11" t="str">
        <x:v>https://legis.senado.leg.br/sdleg-getter/documento?dm=7939404</x:v>
      </x:c>
      <x:c r="G38" s="11" t="str">
        <x:v>Coordenada em DMS convertida para graus decimais.</x:v>
      </x:c>
    </x:row>
    <x:row r="39">
      <x:c r="A39" s="16" t="n">
        <x:v>8732</x:v>
      </x:c>
      <x:c r="B39" s="11" t="str">
        <x:v>Barragem Santa Rita</x:v>
      </x:c>
      <x:c r="C39" s="14" t="n">
        <x:v>-14.18910889</x:v>
      </x:c>
      <x:c r="D39" s="14" t="n">
        <x:v>-39.69714083</x:v>
      </x:c>
      <x:c r="E39" s="11" t="str">
        <x:v>Coordenada confirmada</x:v>
      </x:c>
      <x:c r="F39" s="11" t="str">
        <x:v>https://legis.senado.leg.br/sdleg-getter/documento?dm=7939404</x:v>
      </x:c>
      <x:c r="G39" s="11" t="str">
        <x:v>Coordenada em DMS convertida para graus decimais.</x:v>
      </x:c>
    </x:row>
    <x:row r="40">
      <x:c r="A40" s="16" t="n">
        <x:v>8911</x:v>
      </x:c>
      <x:c r="B40" s="11" t="str">
        <x:v>Cachoeirinha</x:v>
      </x:c>
      <x:c r="C40" s="14" t="n">
        <x:v>-20.15272222</x:v>
      </x:c>
      <x:c r="D40" s="14" t="n">
        <x:v>-43.96544444</x:v>
      </x:c>
      <x:c r="E40" s="11" t="str">
        <x:v>Coordenada confirmada</x:v>
      </x:c>
      <x:c r="F40" s="11" t="str">
        <x:v>https://legis.senado.leg.br/sdleg-getter/documento?dm=7939404</x:v>
      </x:c>
      <x:c r="G40" s="11" t="str">
        <x:v>Coordenada em DMS convertida para graus decimais.</x:v>
      </x:c>
    </x:row>
    <x:row r="41">
      <x:c r="A41" s="16" t="n">
        <x:v>9120</x:v>
      </x:c>
      <x:c r="B41" s="11" t="str">
        <x:v>Bacia de Finos da Mina do Recreio</x:v>
      </x:c>
      <x:c r="C41" s="14" t="n">
        <x:v>-30.14566139</x:v>
      </x:c>
      <x:c r="D41" s="14" t="n">
        <x:v>-52.00377528</x:v>
      </x:c>
      <x:c r="E41" s="11" t="str">
        <x:v>Coordenada confirmada</x:v>
      </x:c>
      <x:c r="F41" s="11" t="str">
        <x:v>https://legis.senado.leg.br/sdleg-getter/documento?dm=7939404</x:v>
      </x:c>
      <x:c r="G41" s="11" t="str">
        <x:v>Coordenada em DMS convertida para graus decimais.</x:v>
      </x:c>
    </x:row>
    <x:row r="42">
      <x:c r="A42" s="16" t="n">
        <x:v>9136</x:v>
      </x:c>
      <x:c r="B42" s="11" t="str">
        <x:v>BARRAGEM DO SOSSEGO</x:v>
      </x:c>
      <x:c r="C42" s="14" t="n">
        <x:v>-6.42910889</x:v>
      </x:c>
      <x:c r="D42" s="14" t="n">
        <x:v>-50.07015389</x:v>
      </x:c>
      <x:c r="E42" s="11" t="str">
        <x:v>Coordenada confirmada</x:v>
      </x:c>
      <x:c r="F42" s="11" t="str">
        <x:v>https://legis.senado.leg.br/sdleg-getter/documento?dm=7939404</x:v>
      </x:c>
      <x:c r="G42" s="11" t="str">
        <x:v>Coordenada em DMS convertida para graus decimais.</x:v>
      </x:c>
    </x:row>
  </x:sheetData>
  <x:conditionalFormatting sqref="E2:E42">
    <x:cfRule type="expression" dxfId="0" priority="1">
      <x:formula>E2="Coordenada pendente de confirmação"</x:formula>
    </x:cfRule>
    <x:cfRule type="expression" dxfId="1" priority="2">
      <x:formula>E2="Coordenada confirmada"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60735ccf4d4e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18" t="str">
        <x:v>Item</x:v>
      </x:c>
      <x:c r="B1" s="18" t="str">
        <x:v>Informação</x:v>
      </x:c>
    </x:row>
    <x:row r="2">
      <x:c r="A2" t="str">
        <x:v>Registros na planilha</x:v>
      </x:c>
      <x:c r="B2" t="n">
        <x:v>41</x:v>
      </x:c>
    </x:row>
    <x:row r="3">
      <x:c r="A3" t="str">
        <x:v>Coordenadas confirmadas</x:v>
      </x:c>
      <x:c r="B3" t="n">
        <x:v>34</x:v>
      </x:c>
    </x:row>
    <x:row r="4">
      <x:c r="A4" t="str">
        <x:v>Pendentes de confirmação exata</x:v>
      </x:c>
      <x:c r="B4" t="n">
        <x:v>7</x:v>
      </x:c>
    </x:row>
    <x:row r="5">
      <x:c r="A5" t="str">
        <x:v>Sistema de referência</x:v>
      </x:c>
      <x:c r="B5" t="str">
        <x:v>Latitude/longitude em graus decimais; coordenadas históricas ANM convertidas de DMS; Vené convertida de UTM SIRGAS 2000.</x:v>
      </x:c>
    </x:row>
    <x:row r="6">
      <x:c r="A6" t="str">
        <x:v>Fonte oficial atual</x:v>
      </x:c>
      <x:c r="B6" t="str">
        <x:v>https://geo.anm.gov.br/arcgis/rest/services/Producao/Barragens_Dashboard_Publico/FeatureServer/0</x:v>
      </x:c>
    </x:row>
    <x:row r="7">
      <x:c r="A7" t="str">
        <x:v>Critério</x:v>
      </x:c>
      <x:c r="B7" t="str">
        <x:v>Não foram inseridas coordenadas aproximadas nem coordenadas de estruturas homônimas.</x:v>
      </x:c>
    </x:row>
  </x:sheetData>
  <x:pageMargins left="0.7" right="0.7" top="0.75" bottom="0.75" header="0.3" footer="0.3"/>
</x:worksheet>
</file>